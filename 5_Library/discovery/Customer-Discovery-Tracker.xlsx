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Interviewee Overview" sheetId="2" r:id="rId5"/>
    <sheet state="visible" name="Question Log" sheetId="3" r:id="rId6"/>
    <sheet state="visible" name="Hypothesis Matrix" sheetId="4" r:id="rId7"/>
    <sheet state="visible" name="Pattern Summary" sheetId="5" r:id="rId8"/>
  </sheets>
  <definedNames/>
  <calcPr/>
  <extLst>
    <ext uri="GoogleSheetsCustomDataVersion2">
      <go:sheetsCustomData xmlns:go="http://customooxmlschemas.google.com/" r:id="rId9" roundtripDataChecksum="4UMuzhaX1w+9a96mTkfGGCCSlBTgX3ICQAxRanvLsis="/>
    </ext>
  </extLst>
</workbook>
</file>

<file path=xl/sharedStrings.xml><?xml version="1.0" encoding="utf-8"?>
<sst xmlns="http://schemas.openxmlformats.org/spreadsheetml/2006/main" count="279" uniqueCount="105">
  <si>
    <t xml:space="preserve">  CUSTOMER DISCOVERY TRACKER</t>
  </si>
  <si>
    <t xml:space="preserve">  WNCP AI  ·  Start here. Enter your hypotheses once — they auto-populate all other tabs.</t>
  </si>
  <si>
    <t xml:space="preserve">  HOW TO USE THIS TRACKER</t>
  </si>
  <si>
    <t>01</t>
  </si>
  <si>
    <t>Enter hypotheses below. Write short, testable 'We believe...' statements. Labels and text auto-populate the Hypothesis Matrix and Pattern Summary.</t>
  </si>
  <si>
    <t>02</t>
  </si>
  <si>
    <t>Run the customer-discovery-coach skill in Claude to generate interview questions. Paste them into the Question Log tab, grouped by interview stage.</t>
  </si>
  <si>
    <t>03</t>
  </si>
  <si>
    <t>Fill in the Interviewee Overview before each interview — name, role, company size, and segment type. This context matters for spotting patterns.</t>
  </si>
  <si>
    <t>04</t>
  </si>
  <si>
    <t>After each interview, update the Hypothesis Matrix — mark each hypothesis Validated, Invalidated, or Inconclusive per interviewee.</t>
  </si>
  <si>
    <t>05</t>
  </si>
  <si>
    <t>After every 5 interviews, review the Pattern Summary. Look for where different customer segments diverge — that's where insight lives.</t>
  </si>
  <si>
    <t xml:space="preserve">  HYPOTHESIS INPUT — ENTER ONCE, POPULATES EVERYWHERE</t>
  </si>
  <si>
    <t>Label</t>
  </si>
  <si>
    <t>Hypothesis Statement  (We believe...)</t>
  </si>
  <si>
    <t>Category</t>
  </si>
  <si>
    <t>H1</t>
  </si>
  <si>
    <t>Problem</t>
  </si>
  <si>
    <t>H2</t>
  </si>
  <si>
    <t>H3</t>
  </si>
  <si>
    <t>H4</t>
  </si>
  <si>
    <t>Customer</t>
  </si>
  <si>
    <t>H5</t>
  </si>
  <si>
    <t>H6</t>
  </si>
  <si>
    <t>H7</t>
  </si>
  <si>
    <t>Market</t>
  </si>
  <si>
    <t>H8</t>
  </si>
  <si>
    <t>H9</t>
  </si>
  <si>
    <t>H10</t>
  </si>
  <si>
    <t>Solution</t>
  </si>
  <si>
    <t>H11</t>
  </si>
  <si>
    <t>H12</t>
  </si>
  <si>
    <t>H13</t>
  </si>
  <si>
    <t>H14</t>
  </si>
  <si>
    <t>H15</t>
  </si>
  <si>
    <t xml:space="preserve">  Aim for 8–12 hypotheses across all four categories before starting interviews.</t>
  </si>
  <si>
    <t xml:space="preserve">  INTERVIEWEE OVERVIEW</t>
  </si>
  <si>
    <t xml:space="preserve">  One row per interviewee. Complete before the interview. Segment tagging reveals patterns across customer types.</t>
  </si>
  <si>
    <t>#</t>
  </si>
  <si>
    <t>Name</t>
  </si>
  <si>
    <t>Role / Title</t>
  </si>
  <si>
    <t>Company / Org</t>
  </si>
  <si>
    <t>Company Size</t>
  </si>
  <si>
    <t>Segment / Type</t>
  </si>
  <si>
    <t>Industry</t>
  </si>
  <si>
    <t>Date</t>
  </si>
  <si>
    <t>Recruited Via</t>
  </si>
  <si>
    <t>Follow-up?</t>
  </si>
  <si>
    <t>Surprises / Notes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</si>
  <si>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</si>
  <si>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</si>
  <si>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</si>
  <si>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</si>
  <si>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</si>
  <si>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</si>
  <si>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</si>
  <si>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</si>
  <si>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</si>
  <si>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</si>
  <si>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 xml:space="preserve">  INTERVIEW QUESTION LOG</t>
  </si>
  <si>
    <t xml:space="preserve">  Questions follow natural interview flow — not hypothesis category. Ask every question to every interviewee. Log key quotes per cell.</t>
  </si>
  <si>
    <t>Interview Stage</t>
  </si>
  <si>
    <t>Question  (paste from skill output)</t>
  </si>
  <si>
    <t>Hyp #</t>
  </si>
  <si>
    <t xml:space="preserve">  OPENING</t>
  </si>
  <si>
    <t xml:space="preserve">  Build rapport — understand their world, no agenda yet.</t>
  </si>
  <si>
    <t>Opening</t>
  </si>
  <si>
    <t xml:space="preserve">  PROBLEM EXPLORATION</t>
  </si>
  <si>
    <t xml:space="preserve">  What breaks down, how often, what do they do today. Problem + Customer hypotheses.</t>
  </si>
  <si>
    <t>Problem Exploration</t>
  </si>
  <si>
    <t xml:space="preserve">  CURRENT BEHAVIOR &amp; WORKAROUNDS</t>
  </si>
  <si>
    <t xml:space="preserve">  Dig into actual behavior. More Customer + Problem hypotheses.</t>
  </si>
  <si>
    <t>Current Behavior &amp; Workarounds</t>
  </si>
  <si>
    <t xml:space="preserve">  CONSEQUENCES &amp; COST</t>
  </si>
  <si>
    <t xml:space="preserve">  What happens when it goes wrong. Deepens Problem hypothesis testing.</t>
  </si>
  <si>
    <t>Consequences &amp; Cost</t>
  </si>
  <si>
    <t xml:space="preserve">  SOLUTION SPACE</t>
  </si>
  <si>
    <t xml:space="preserve">  Only after you understand their world. What have they tried? Solution hypotheses.</t>
  </si>
  <si>
    <t>Solution Space</t>
  </si>
  <si>
    <t xml:space="preserve">  CLOSING</t>
  </si>
  <si>
    <t xml:space="preserve">  Open door for surprises. Ask for referrals.</t>
  </si>
  <si>
    <t>Closing</t>
  </si>
  <si>
    <t xml:space="preserve">  HYPOTHESIS MATRIX</t>
  </si>
  <si>
    <t xml:space="preserve">  Mark each hypothesis per interviewee. Summary columns auto-calculate. Hypothesis text pulls from Guide tab.</t>
  </si>
  <si>
    <t>Hypothesis</t>
  </si>
  <si>
    <t>✓  Validated</t>
  </si>
  <si>
    <t>✗  Invalidated</t>
  </si>
  <si>
    <t>?  Inconclusive</t>
  </si>
  <si>
    <t>—</t>
  </si>
  <si>
    <t xml:space="preserve">  PATTERN SUMMARY</t>
  </si>
  <si>
    <t xml:space="preserve">  Review after every 5 interviews. Counts auto-populate from Hypothesis Matrix. Add pattern notes and segment observations manually.</t>
  </si>
  <si>
    <t xml:space="preserve">  HYPOTHESIS OUTCOMES  —  AUTO-POPULATED FROM HYPOTHESIS MATRIX</t>
  </si>
  <si>
    <t>✓ Validated</t>
  </si>
  <si>
    <t>✗ Invalidated</t>
  </si>
  <si>
    <t>? Inconclusive</t>
  </si>
  <si>
    <t>Pattern Notes</t>
  </si>
  <si>
    <t xml:space="preserve">  SEGMENT DIVERGENCE  —  WHERE DO DIFFERENT CUSTOMER TYPES SEE THE PROBLEM DIFFERENTLY?</t>
  </si>
  <si>
    <t>Segment A</t>
  </si>
  <si>
    <t>Segment B</t>
  </si>
  <si>
    <t>Key Difference</t>
  </si>
  <si>
    <t>Implication</t>
  </si>
  <si>
    <t>Action</t>
  </si>
  <si>
    <t xml:space="preserve">  KEY INSIGHT  —  WHAT DO YOU NOW BELIEVE THAT YOU DIDN'T BEFORE STARTING INTERVIEWS?</t>
  </si>
  <si>
    <t>Write your synthesis here after 5+ interviews...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</si>
</sst>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Inter"/>
    </font>
    <font/>
    <font>
      <sz val="11.0"/>
      <color theme="1"/>
      <name val="Calibri"/>
    </font>
    <font>
      <i/>
      <sz val="9.0"/>
      <color rgb="FF6B7280"/>
      <name val="Calibri"/>
    </font>
    <font>
      <b/>
      <sz val="10.0"/>
      <color rgb="FFBD1B04"/>
      <name val="Inter"/>
    </font>
    <font>
      <b/>
      <sz val="13.0"/>
      <color rgb="FFBD1B04"/>
      <name val="Inter"/>
    </font>
    <font>
      <sz val="10.0"/>
      <color rgb="FF2D2D2D"/>
      <name val="Calibri"/>
    </font>
    <font>
      <sz val="11.0"/>
      <color rgb="FF2D2D2D"/>
      <name val="Calibri"/>
    </font>
    <font>
      <b/>
      <sz val="10.0"/>
      <color rgb="FFFFFFFF"/>
      <name val="Inter"/>
    </font>
    <font>
      <b/>
      <sz val="11.0"/>
      <color rgb="FFBD1B04"/>
      <name val="Inter"/>
    </font>
    <font>
      <i/>
      <sz val="10.0"/>
      <color rgb="FF6B7280"/>
      <name val="Calibri"/>
    </font>
    <font>
      <b/>
      <sz val="9.0"/>
      <color rgb="FFBD1B04"/>
      <name val="Calibri"/>
    </font>
    <font>
      <b/>
      <sz val="9.0"/>
      <color rgb="FFFFFFFF"/>
      <name val="Inter"/>
    </font>
    <font>
      <sz val="10.0"/>
      <color rgb="FFE5E7EB"/>
      <name val="Calibri"/>
    </font>
    <font>
      <b/>
      <sz val="11.0"/>
      <color rgb="FF1E5C2E"/>
      <name val="Inter"/>
    </font>
    <font>
      <b/>
      <sz val="11.0"/>
      <color rgb="FF7A1200"/>
      <name val="Inter"/>
    </font>
    <font>
      <b/>
      <sz val="11.0"/>
      <color rgb="FF6B7280"/>
      <name val="Inter"/>
    </font>
    <font>
      <b/>
      <sz val="12.0"/>
      <color rgb="FF1E5C2E"/>
      <name val="Inter"/>
    </font>
    <font>
      <b/>
      <sz val="12.0"/>
      <color rgb="FF7A1200"/>
      <name val="Inter"/>
    </font>
    <font>
      <b/>
      <sz val="12.0"/>
      <color rgb="FF6B7280"/>
      <name val="Inter"/>
    </font>
  </fonts>
  <fills count="13">
    <fill>
      <patternFill patternType="none"/>
    </fill>
    <fill>
      <patternFill patternType="lightGray"/>
    </fill>
    <fill>
      <patternFill patternType="solid">
        <fgColor rgb="FF0A0A0A"/>
        <bgColor rgb="FF0A0A0A"/>
      </patternFill>
    </fill>
    <fill>
      <patternFill patternType="solid">
        <fgColor rgb="FFBD1B04"/>
        <bgColor rgb="FFBD1B04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DF3F2"/>
        <bgColor rgb="FFFDF3F2"/>
      </patternFill>
    </fill>
    <fill>
      <patternFill patternType="solid">
        <fgColor rgb="FF1E5C2E"/>
        <bgColor rgb="FF1E5C2E"/>
      </patternFill>
    </fill>
    <fill>
      <patternFill patternType="solid">
        <fgColor rgb="FF7A1200"/>
        <bgColor rgb="FF7A1200"/>
      </patternFill>
    </fill>
    <fill>
      <patternFill patternType="solid">
        <fgColor rgb="FF2D2D2D"/>
        <bgColor rgb="FF2D2D2D"/>
      </patternFill>
    </fill>
    <fill>
      <patternFill patternType="solid">
        <fgColor rgb="FFD4EDDA"/>
        <bgColor rgb="FFD4EDDA"/>
      </patternFill>
    </fill>
    <fill>
      <patternFill patternType="solid">
        <fgColor rgb="FFFDECEA"/>
        <bgColor rgb="FFFDECEA"/>
      </patternFill>
    </fill>
  </fills>
  <borders count="21">
    <border/>
    <border>
      <left style="thin">
        <color rgb="FF0A0A0A"/>
      </left>
      <top style="thin">
        <color rgb="FF0A0A0A"/>
      </top>
      <bottom style="thin">
        <color rgb="FF0A0A0A"/>
      </bottom>
    </border>
    <border>
      <top style="thin">
        <color rgb="FF0A0A0A"/>
      </top>
      <bottom style="thin">
        <color rgb="FF0A0A0A"/>
      </bottom>
    </border>
    <border>
      <right/>
      <top style="thin">
        <color rgb="FF0A0A0A"/>
      </top>
      <bottom style="thin">
        <color rgb="FF0A0A0A"/>
      </bottom>
    </border>
    <border>
      <left style="thin">
        <color rgb="FFBD1B04"/>
      </left>
      <top style="thin">
        <color rgb="FFBD1B04"/>
      </top>
      <bottom style="thin">
        <color rgb="FFBD1B04"/>
      </bottom>
    </border>
    <border>
      <top style="thin">
        <color rgb="FFBD1B04"/>
      </top>
      <bottom style="thin">
        <color rgb="FFBD1B04"/>
      </bottom>
    </border>
    <border>
      <right/>
      <top style="thin">
        <color rgb="FFBD1B04"/>
      </top>
      <bottom style="thin">
        <color rgb="FFBD1B04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/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</border>
    <border>
      <left style="thin">
        <color rgb="FF8A1303"/>
      </left>
      <right style="thin">
        <color rgb="FF8A1303"/>
      </right>
      <top style="thin">
        <color rgb="FF8A1303"/>
      </top>
      <bottom style="thin">
        <color rgb="FF8A1303"/>
      </bottom>
    </border>
    <border>
      <left style="thin">
        <color rgb="FFE5E7EB"/>
      </left>
      <top style="thin">
        <color rgb="FFE5E7EB"/>
      </top>
    </border>
    <border>
      <top style="thin">
        <color rgb="FFE5E7EB"/>
      </top>
    </border>
    <border>
      <right/>
      <top style="thin">
        <color rgb="FFE5E7EB"/>
      </top>
    </border>
    <border>
      <left style="thin">
        <color rgb="FFE5E7EB"/>
      </left>
    </border>
    <border>
      <right/>
    </border>
    <border>
      <left style="thin">
        <color rgb="FFE5E7EB"/>
      </left>
      <bottom style="thin">
        <color rgb="FFE5E7EB"/>
      </bottom>
    </border>
    <border>
      <bottom style="thin">
        <color rgb="FFE5E7EB"/>
      </bottom>
    </border>
    <border>
      <right/>
      <bottom style="thin">
        <color rgb="FFE5E7EB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left" shrinkToFit="0" vertical="center" wrapText="0"/>
    </xf>
    <xf borderId="8" fillId="0" fontId="2" numFmtId="0" xfId="0" applyBorder="1" applyFont="1"/>
    <xf borderId="9" fillId="0" fontId="2" numFmtId="0" xfId="0" applyBorder="1" applyFont="1"/>
    <xf borderId="1" fillId="2" fontId="5" numFmtId="0" xfId="0" applyAlignment="1" applyBorder="1" applyFont="1">
      <alignment horizontal="left" shrinkToFit="0" vertical="center" wrapText="0"/>
    </xf>
    <xf borderId="10" fillId="4" fontId="6" numFmtId="0" xfId="0" applyAlignment="1" applyBorder="1" applyFont="1">
      <alignment horizontal="center" shrinkToFit="0" vertical="center" wrapText="0"/>
    </xf>
    <xf borderId="10" fillId="4" fontId="7" numFmtId="0" xfId="0" applyAlignment="1" applyBorder="1" applyFont="1">
      <alignment horizontal="left" shrinkToFit="0" vertical="center" wrapText="1"/>
    </xf>
    <xf borderId="10" fillId="4" fontId="8" numFmtId="0" xfId="0" applyAlignment="1" applyBorder="1" applyFont="1">
      <alignment horizontal="left" shrinkToFit="0" vertical="center" wrapText="0"/>
    </xf>
    <xf borderId="10" fillId="5" fontId="6" numFmtId="0" xfId="0" applyAlignment="1" applyBorder="1" applyFill="1" applyFont="1">
      <alignment horizontal="center" shrinkToFit="0" vertical="center" wrapText="0"/>
    </xf>
    <xf borderId="10" fillId="5" fontId="7" numFmtId="0" xfId="0" applyAlignment="1" applyBorder="1" applyFont="1">
      <alignment horizontal="left" shrinkToFit="0" vertical="center" wrapText="1"/>
    </xf>
    <xf borderId="10" fillId="5" fontId="8" numFmtId="0" xfId="0" applyAlignment="1" applyBorder="1" applyFont="1">
      <alignment horizontal="left" shrinkToFit="0" vertical="center" wrapText="0"/>
    </xf>
    <xf borderId="11" fillId="2" fontId="9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0"/>
    </xf>
    <xf borderId="10" fillId="4" fontId="11" numFmtId="0" xfId="0" applyAlignment="1" applyBorder="1" applyFont="1">
      <alignment horizontal="center" shrinkToFit="0" vertical="center" wrapText="0"/>
    </xf>
    <xf borderId="10" fillId="5" fontId="10" numFmtId="0" xfId="0" applyAlignment="1" applyBorder="1" applyFont="1">
      <alignment horizontal="center" shrinkToFit="0" vertical="center" wrapText="0"/>
    </xf>
    <xf borderId="10" fillId="5" fontId="11" numFmtId="0" xfId="0" applyAlignment="1" applyBorder="1" applyFont="1">
      <alignment horizontal="center" shrinkToFit="0" vertical="center" wrapText="0"/>
    </xf>
    <xf borderId="12" fillId="3" fontId="9" numFmtId="0" xfId="0" applyAlignment="1" applyBorder="1" applyFont="1">
      <alignment horizontal="center" shrinkToFit="0" vertical="center" wrapText="1"/>
    </xf>
    <xf borderId="10" fillId="6" fontId="12" numFmtId="0" xfId="0" applyAlignment="1" applyBorder="1" applyFill="1" applyFont="1">
      <alignment horizontal="left" shrinkToFit="0" vertical="top" wrapText="1"/>
    </xf>
    <xf borderId="10" fillId="4" fontId="7" numFmtId="0" xfId="0" applyAlignment="1" applyBorder="1" applyFont="1">
      <alignment horizontal="left" shrinkToFit="0" vertical="top" wrapText="1"/>
    </xf>
    <xf borderId="10" fillId="7" fontId="5" numFmtId="0" xfId="0" applyAlignment="1" applyBorder="1" applyFill="1" applyFont="1">
      <alignment horizontal="center" shrinkToFit="0" vertical="top" wrapText="0"/>
    </xf>
    <xf borderId="10" fillId="6" fontId="4" numFmtId="0" xfId="0" applyAlignment="1" applyBorder="1" applyFont="1">
      <alignment horizontal="left" shrinkToFit="0" vertical="top" wrapText="1"/>
    </xf>
    <xf borderId="10" fillId="5" fontId="7" numFmtId="0" xfId="0" applyAlignment="1" applyBorder="1" applyFont="1">
      <alignment horizontal="left" shrinkToFit="0" vertical="top" wrapText="1"/>
    </xf>
    <xf borderId="11" fillId="8" fontId="13" numFmtId="0" xfId="0" applyAlignment="1" applyBorder="1" applyFill="1" applyFont="1">
      <alignment horizontal="center" shrinkToFit="0" vertical="center" wrapText="1"/>
    </xf>
    <xf borderId="11" fillId="9" fontId="13" numFmtId="0" xfId="0" applyAlignment="1" applyBorder="1" applyFill="1" applyFont="1">
      <alignment horizontal="center" shrinkToFit="0" vertical="center" wrapText="1"/>
    </xf>
    <xf borderId="11" fillId="10" fontId="13" numFmtId="0" xfId="0" applyAlignment="1" applyBorder="1" applyFill="1" applyFont="1">
      <alignment horizontal="center" shrinkToFit="0" vertical="center" wrapText="1"/>
    </xf>
    <xf borderId="10" fillId="4" fontId="14" numFmtId="0" xfId="0" applyAlignment="1" applyBorder="1" applyFont="1">
      <alignment horizontal="center" readingOrder="0" shrinkToFit="0" vertical="center" wrapText="0"/>
    </xf>
    <xf borderId="10" fillId="4" fontId="14" numFmtId="0" xfId="0" applyAlignment="1" applyBorder="1" applyFont="1">
      <alignment horizontal="center" shrinkToFit="0" vertical="center" wrapText="0"/>
    </xf>
    <xf borderId="10" fillId="11" fontId="15" numFmtId="0" xfId="0" applyAlignment="1" applyBorder="1" applyFill="1" applyFont="1">
      <alignment horizontal="center" shrinkToFit="0" vertical="center" wrapText="0"/>
    </xf>
    <xf borderId="10" fillId="12" fontId="16" numFmtId="0" xfId="0" applyAlignment="1" applyBorder="1" applyFill="1" applyFont="1">
      <alignment horizontal="center" shrinkToFit="0" vertical="center" wrapText="0"/>
    </xf>
    <xf borderId="10" fillId="4" fontId="17" numFmtId="0" xfId="0" applyAlignment="1" applyBorder="1" applyFont="1">
      <alignment horizontal="center" shrinkToFit="0" vertical="center" wrapText="0"/>
    </xf>
    <xf borderId="10" fillId="5" fontId="14" numFmtId="0" xfId="0" applyAlignment="1" applyBorder="1" applyFont="1">
      <alignment horizontal="center" shrinkToFit="0" vertical="center" wrapText="0"/>
    </xf>
    <xf borderId="10" fillId="11" fontId="18" numFmtId="0" xfId="0" applyAlignment="1" applyBorder="1" applyFont="1">
      <alignment horizontal="center" shrinkToFit="0" vertical="center" wrapText="0"/>
    </xf>
    <xf borderId="10" fillId="12" fontId="19" numFmtId="0" xfId="0" applyAlignment="1" applyBorder="1" applyFont="1">
      <alignment horizontal="center" shrinkToFit="0" vertical="center" wrapText="0"/>
    </xf>
    <xf borderId="10" fillId="4" fontId="20" numFmtId="0" xfId="0" applyAlignment="1" applyBorder="1" applyFont="1">
      <alignment horizontal="center" shrinkToFit="0" vertical="center" wrapText="0"/>
    </xf>
    <xf borderId="13" fillId="4" fontId="11" numFmtId="0" xfId="0" applyAlignment="1" applyBorder="1" applyFont="1">
      <alignment horizontal="left" shrinkToFit="0" vertical="top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1B04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62.0"/>
    <col customWidth="1" min="3" max="3" width="18.0"/>
    <col customWidth="1" min="4" max="26" width="8.71"/>
  </cols>
  <sheetData>
    <row r="1" ht="43.5" customHeight="1">
      <c r="A1" s="1" t="s">
        <v>0</v>
      </c>
      <c r="B1" s="2"/>
      <c r="C1" s="3"/>
    </row>
    <row r="2" ht="4.5" customHeight="1">
      <c r="A2" s="4"/>
      <c r="B2" s="5"/>
      <c r="C2" s="6"/>
    </row>
    <row r="3" ht="19.5" customHeight="1">
      <c r="A3" s="7" t="s">
        <v>1</v>
      </c>
      <c r="B3" s="8"/>
      <c r="C3" s="9"/>
    </row>
    <row r="4" ht="9.75" customHeight="1"/>
    <row r="5" ht="25.5" customHeight="1">
      <c r="A5" s="10" t="s">
        <v>2</v>
      </c>
      <c r="B5" s="2"/>
      <c r="C5" s="3"/>
    </row>
    <row r="6" ht="37.5" customHeight="1">
      <c r="A6" s="11" t="s">
        <v>3</v>
      </c>
      <c r="B6" s="12" t="s">
        <v>4</v>
      </c>
      <c r="C6" s="13"/>
    </row>
    <row r="7" ht="37.5" customHeight="1">
      <c r="A7" s="14" t="s">
        <v>5</v>
      </c>
      <c r="B7" s="15" t="s">
        <v>6</v>
      </c>
      <c r="C7" s="16"/>
    </row>
    <row r="8" ht="37.5" customHeight="1">
      <c r="A8" s="11" t="s">
        <v>7</v>
      </c>
      <c r="B8" s="12" t="s">
        <v>8</v>
      </c>
      <c r="C8" s="13"/>
    </row>
    <row r="9" ht="37.5" customHeight="1">
      <c r="A9" s="14" t="s">
        <v>9</v>
      </c>
      <c r="B9" s="15" t="s">
        <v>10</v>
      </c>
      <c r="C9" s="16"/>
    </row>
    <row r="10" ht="37.5" customHeight="1">
      <c r="A10" s="11" t="s">
        <v>11</v>
      </c>
      <c r="B10" s="12" t="s">
        <v>12</v>
      </c>
      <c r="C10" s="13"/>
    </row>
    <row r="11" ht="13.5" customHeight="1"/>
    <row r="12" ht="25.5" customHeight="1">
      <c r="A12" s="10" t="s">
        <v>13</v>
      </c>
      <c r="B12" s="2"/>
      <c r="C12" s="3"/>
    </row>
    <row r="13" ht="27.75" customHeight="1">
      <c r="A13" s="17" t="s">
        <v>14</v>
      </c>
      <c r="B13" s="17" t="s">
        <v>15</v>
      </c>
      <c r="C13" s="17" t="s">
        <v>16</v>
      </c>
    </row>
    <row r="14" ht="36.0" customHeight="1">
      <c r="A14" s="18" t="s">
        <v>17</v>
      </c>
      <c r="B14" s="12"/>
      <c r="C14" s="19" t="s">
        <v>18</v>
      </c>
    </row>
    <row r="15" ht="36.0" customHeight="1">
      <c r="A15" s="20" t="s">
        <v>19</v>
      </c>
      <c r="B15" s="15"/>
      <c r="C15" s="21" t="s">
        <v>18</v>
      </c>
    </row>
    <row r="16" ht="36.0" customHeight="1">
      <c r="A16" s="18" t="s">
        <v>20</v>
      </c>
      <c r="B16" s="12"/>
      <c r="C16" s="19" t="s">
        <v>18</v>
      </c>
    </row>
    <row r="17" ht="36.0" customHeight="1">
      <c r="A17" s="20" t="s">
        <v>21</v>
      </c>
      <c r="B17" s="15"/>
      <c r="C17" s="21" t="s">
        <v>22</v>
      </c>
    </row>
    <row r="18" ht="36.0" customHeight="1">
      <c r="A18" s="18" t="s">
        <v>23</v>
      </c>
      <c r="B18" s="12"/>
      <c r="C18" s="19" t="s">
        <v>22</v>
      </c>
    </row>
    <row r="19" ht="36.0" customHeight="1">
      <c r="A19" s="20" t="s">
        <v>24</v>
      </c>
      <c r="B19" s="15"/>
      <c r="C19" s="21" t="s">
        <v>22</v>
      </c>
    </row>
    <row r="20" ht="36.0" customHeight="1">
      <c r="A20" s="18" t="s">
        <v>25</v>
      </c>
      <c r="B20" s="12"/>
      <c r="C20" s="19" t="s">
        <v>26</v>
      </c>
    </row>
    <row r="21" ht="36.0" customHeight="1">
      <c r="A21" s="20" t="s">
        <v>27</v>
      </c>
      <c r="B21" s="15"/>
      <c r="C21" s="21" t="s">
        <v>26</v>
      </c>
    </row>
    <row r="22" ht="36.0" customHeight="1">
      <c r="A22" s="18" t="s">
        <v>28</v>
      </c>
      <c r="B22" s="12"/>
      <c r="C22" s="19" t="s">
        <v>26</v>
      </c>
    </row>
    <row r="23" ht="36.0" customHeight="1">
      <c r="A23" s="20" t="s">
        <v>29</v>
      </c>
      <c r="B23" s="15"/>
      <c r="C23" s="21" t="s">
        <v>30</v>
      </c>
    </row>
    <row r="24" ht="36.0" customHeight="1">
      <c r="A24" s="18" t="s">
        <v>31</v>
      </c>
      <c r="B24" s="12"/>
      <c r="C24" s="19" t="s">
        <v>30</v>
      </c>
    </row>
    <row r="25" ht="36.0" customHeight="1">
      <c r="A25" s="20" t="s">
        <v>32</v>
      </c>
      <c r="B25" s="15"/>
      <c r="C25" s="21" t="s">
        <v>30</v>
      </c>
    </row>
    <row r="26" ht="36.0" customHeight="1">
      <c r="A26" s="18" t="s">
        <v>33</v>
      </c>
      <c r="B26" s="12"/>
      <c r="C26" s="19" t="s">
        <v>30</v>
      </c>
    </row>
    <row r="27" ht="36.0" customHeight="1">
      <c r="A27" s="20" t="s">
        <v>34</v>
      </c>
      <c r="B27" s="15"/>
      <c r="C27" s="21" t="s">
        <v>30</v>
      </c>
    </row>
    <row r="28" ht="36.0" customHeight="1">
      <c r="A28" s="18" t="s">
        <v>35</v>
      </c>
      <c r="B28" s="12"/>
      <c r="C28" s="19" t="s">
        <v>30</v>
      </c>
    </row>
    <row r="29" ht="19.5" customHeight="1">
      <c r="A29" s="7" t="s">
        <v>36</v>
      </c>
      <c r="B29" s="8"/>
      <c r="C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2:C2"/>
    <mergeCell ref="A3:C3"/>
    <mergeCell ref="A5:C5"/>
    <mergeCell ref="A12:C12"/>
    <mergeCell ref="A29:C29"/>
  </mergeCells>
  <dataValidations>
    <dataValidation type="list" allowBlank="1" sqref="C14:C28">
      <formula1>"Problem,Customer,Solution"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1B04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4" width="20.0"/>
    <col customWidth="1" min="5" max="6" width="18.0"/>
    <col customWidth="1" min="7" max="7" width="16.0"/>
    <col customWidth="1" min="8" max="8" width="12.0"/>
    <col customWidth="1" min="9" max="10" width="18.0"/>
    <col customWidth="1" min="11" max="11" width="30.0"/>
    <col customWidth="1" min="12" max="26" width="8.71"/>
  </cols>
  <sheetData>
    <row r="1" ht="43.5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9.5" customHeight="1">
      <c r="A3" s="7" t="s">
        <v>38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ht="9.75" customHeight="1"/>
    <row r="5" ht="30.0" customHeight="1">
      <c r="A5" s="17" t="s">
        <v>39</v>
      </c>
      <c r="B5" s="17" t="s">
        <v>40</v>
      </c>
      <c r="C5" s="17" t="s">
        <v>41</v>
      </c>
      <c r="D5" s="17" t="s">
        <v>42</v>
      </c>
      <c r="E5" s="17" t="s">
        <v>43</v>
      </c>
      <c r="F5" s="17" t="s">
        <v>44</v>
      </c>
      <c r="G5" s="17" t="s">
        <v>45</v>
      </c>
      <c r="H5" s="17" t="s">
        <v>46</v>
      </c>
      <c r="I5" s="17" t="s">
        <v>47</v>
      </c>
      <c r="J5" s="17" t="s">
        <v>48</v>
      </c>
      <c r="K5" s="17" t="s">
        <v>49</v>
      </c>
    </row>
    <row r="6" ht="37.5" customHeight="1">
      <c r="A6" s="18" t="s">
        <v>50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ht="37.5" customHeight="1">
      <c r="A7" s="20" t="s">
        <v>51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ht="37.5" customHeight="1">
      <c r="A8" s="18" t="s">
        <v>52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37.5" customHeight="1">
      <c r="A9" s="20" t="s">
        <v>53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ht="37.5" customHeight="1">
      <c r="A10" s="18" t="s">
        <v>54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37.5" customHeight="1">
      <c r="A11" s="20" t="s">
        <v>55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ht="37.5" customHeight="1">
      <c r="A12" s="18" t="s">
        <v>56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37.5" customHeight="1">
      <c r="A13" s="20" t="s">
        <v>57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ht="37.5" customHeight="1">
      <c r="A14" s="18" t="s">
        <v>58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ht="37.5" customHeight="1">
      <c r="A15" s="20" t="s">
        <v>59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dataValidations>
    <dataValidation type="list" allowBlank="1" sqref="J6:J15">
      <formula1>"Yes — high priority,Yes — low priority,No,Referred someone"</formula1>
    </dataValidation>
    <dataValidation type="list" allowBlank="1" sqref="E6:E15">
      <formula1>"Solo,Small (2-10),Medium (11-50),Large (51-500),Enterprise (500+)"</formula1>
    </dataValidation>
    <dataValidation type="list" allowBlank="1" sqref="F6:F15">
      <formula1>"B2B,B2C,B2G,B2B2C,Non-profit,Other"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1B04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0.0"/>
    <col customWidth="1" min="2" max="2" width="42.0"/>
    <col customWidth="1" min="3" max="3" width="10.0"/>
    <col customWidth="1" min="4" max="13" width="22.0"/>
    <col customWidth="1" min="14" max="26" width="8.71"/>
  </cols>
  <sheetData>
    <row r="1" ht="43.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9.5" customHeight="1">
      <c r="A3" s="7" t="s">
        <v>61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ht="9.75" customHeight="1"/>
    <row r="5" ht="31.5" customHeight="1">
      <c r="A5" s="17" t="s">
        <v>62</v>
      </c>
      <c r="B5" s="17" t="s">
        <v>63</v>
      </c>
      <c r="C5" s="17" t="s">
        <v>64</v>
      </c>
      <c r="D5" s="22" t="str">
        <f>IF('Interviewee Overview'!B6&lt;&gt;"","I1 — "&amp;'Interviewee Overview'!B6,"Interviewee 1")</f>
        <v>Interviewee 1</v>
      </c>
      <c r="E5" s="22" t="str">
        <f>IF('Interviewee Overview'!B7&lt;&gt;"","I2 — "&amp;'Interviewee Overview'!B7,"Interviewee 2")</f>
        <v>Interviewee 2</v>
      </c>
      <c r="F5" s="22" t="str">
        <f>IF('Interviewee Overview'!B8&lt;&gt;"","I3 — "&amp;'Interviewee Overview'!B8,"Interviewee 3")</f>
        <v>Interviewee 3</v>
      </c>
      <c r="G5" s="22" t="str">
        <f>IF('Interviewee Overview'!B9&lt;&gt;"","I4 — "&amp;'Interviewee Overview'!B9,"Interviewee 4")</f>
        <v>Interviewee 4</v>
      </c>
      <c r="H5" s="22" t="str">
        <f>IF('Interviewee Overview'!B10&lt;&gt;"","I5 — "&amp;'Interviewee Overview'!B10,"Interviewee 5")</f>
        <v>Interviewee 5</v>
      </c>
      <c r="I5" s="22" t="str">
        <f>IF('Interviewee Overview'!B11&lt;&gt;"","I6 — "&amp;'Interviewee Overview'!B11,"Interviewee 6")</f>
        <v>Interviewee 6</v>
      </c>
      <c r="J5" s="22" t="str">
        <f>IF('Interviewee Overview'!B12&lt;&gt;"","I7 — "&amp;'Interviewee Overview'!B12,"Interviewee 7")</f>
        <v>Interviewee 7</v>
      </c>
      <c r="K5" s="22" t="str">
        <f>IF('Interviewee Overview'!B13&lt;&gt;"","I8 — "&amp;'Interviewee Overview'!B13,"Interviewee 8")</f>
        <v>Interviewee 8</v>
      </c>
      <c r="L5" s="22" t="str">
        <f>IF('Interviewee Overview'!B14&lt;&gt;"","I9 — "&amp;'Interviewee Overview'!B14,"Interviewee 9")</f>
        <v>Interviewee 9</v>
      </c>
      <c r="M5" s="22" t="str">
        <f>IF('Interviewee Overview'!B15&lt;&gt;"","I10 — "&amp;'Interviewee Overview'!B15,"Interviewee 10")</f>
        <v>Interviewee 10</v>
      </c>
    </row>
    <row r="6" ht="25.5" customHeight="1">
      <c r="A6" s="10" t="s">
        <v>65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ht="15.75" customHeight="1">
      <c r="A7" s="7" t="s">
        <v>66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ht="51.75" customHeight="1">
      <c r="A8" s="23" t="s">
        <v>67</v>
      </c>
      <c r="B8" s="24"/>
      <c r="C8" s="25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ht="51.75" customHeight="1">
      <c r="A9" s="26"/>
      <c r="B9" s="27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ht="51.75" customHeight="1">
      <c r="A10" s="26"/>
      <c r="B10" s="24"/>
      <c r="C10" s="25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ht="25.5" customHeight="1">
      <c r="A11" s="10" t="s">
        <v>68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 ht="15.75" customHeight="1">
      <c r="A12" s="7" t="s">
        <v>69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</row>
    <row r="13" ht="51.75" customHeight="1">
      <c r="A13" s="23" t="s">
        <v>70</v>
      </c>
      <c r="B13" s="24"/>
      <c r="C13" s="25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ht="51.75" customHeight="1">
      <c r="A14" s="26"/>
      <c r="B14" s="27"/>
      <c r="C14" s="25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ht="51.75" customHeight="1">
      <c r="A15" s="26"/>
      <c r="B15" s="24"/>
      <c r="C15" s="25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ht="51.75" customHeight="1">
      <c r="A16" s="26"/>
      <c r="B16" s="27"/>
      <c r="C16" s="25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ht="51.75" customHeight="1">
      <c r="A17" s="26"/>
      <c r="B17" s="24"/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ht="25.5" customHeight="1">
      <c r="A18" s="10" t="s">
        <v>71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ht="15.75" customHeight="1">
      <c r="A19" s="7" t="s">
        <v>72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</row>
    <row r="20" ht="51.75" customHeight="1">
      <c r="A20" s="23" t="s">
        <v>73</v>
      </c>
      <c r="B20" s="24"/>
      <c r="C20" s="25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ht="51.75" customHeight="1">
      <c r="A21" s="26"/>
      <c r="B21" s="27"/>
      <c r="C21" s="25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ht="51.75" customHeight="1">
      <c r="A22" s="26"/>
      <c r="B22" s="24"/>
      <c r="C22" s="25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ht="51.75" customHeight="1">
      <c r="A23" s="26"/>
      <c r="B23" s="27"/>
      <c r="C23" s="25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ht="25.5" customHeight="1">
      <c r="A24" s="10" t="s">
        <v>74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ht="15.75" customHeight="1">
      <c r="A25" s="7" t="s">
        <v>75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</row>
    <row r="26" ht="51.75" customHeight="1">
      <c r="A26" s="23" t="s">
        <v>76</v>
      </c>
      <c r="B26" s="24"/>
      <c r="C26" s="25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ht="51.75" customHeight="1">
      <c r="A27" s="26"/>
      <c r="B27" s="27"/>
      <c r="C27" s="25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ht="51.75" customHeight="1">
      <c r="A28" s="26"/>
      <c r="B28" s="24"/>
      <c r="C28" s="25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ht="25.5" customHeight="1">
      <c r="A29" s="10" t="s">
        <v>77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</row>
    <row r="30" ht="15.75" customHeight="1">
      <c r="A30" s="7" t="s">
        <v>78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</row>
    <row r="31" ht="51.75" customHeight="1">
      <c r="A31" s="23" t="s">
        <v>79</v>
      </c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ht="51.75" customHeight="1">
      <c r="A32" s="26"/>
      <c r="B32" s="27"/>
      <c r="C32" s="25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ht="51.75" customHeight="1">
      <c r="A33" s="26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ht="51.75" customHeight="1">
      <c r="A34" s="26"/>
      <c r="B34" s="27"/>
      <c r="C34" s="25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ht="25.5" customHeight="1">
      <c r="A35" s="10" t="s">
        <v>80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</row>
    <row r="36" ht="15.75" customHeight="1">
      <c r="A36" s="7" t="s">
        <v>81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ht="51.75" customHeight="1">
      <c r="A37" s="23" t="s">
        <v>82</v>
      </c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ht="51.75" customHeight="1">
      <c r="A38" s="26"/>
      <c r="B38" s="27"/>
      <c r="C38" s="25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5">
    <mergeCell ref="A1:M1"/>
    <mergeCell ref="A2:M2"/>
    <mergeCell ref="A3:M3"/>
    <mergeCell ref="A6:M6"/>
    <mergeCell ref="A7:M7"/>
    <mergeCell ref="A11:M11"/>
    <mergeCell ref="A12:M12"/>
    <mergeCell ref="A30:M30"/>
    <mergeCell ref="A35:M35"/>
    <mergeCell ref="A36:M36"/>
    <mergeCell ref="A18:M18"/>
    <mergeCell ref="A19:M19"/>
    <mergeCell ref="A24:M24"/>
    <mergeCell ref="A25:M25"/>
    <mergeCell ref="A29:M2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1B04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0"/>
    <col customWidth="1" min="2" max="2" width="44.0"/>
    <col customWidth="1" min="3" max="15" width="14.0"/>
    <col customWidth="1" min="16" max="26" width="8.71"/>
  </cols>
  <sheetData>
    <row r="1" ht="43.5" customHeight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ht="19.5" customHeight="1">
      <c r="A3" s="7" t="s">
        <v>84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 ht="9.75" customHeight="1"/>
    <row r="5" ht="31.5" customHeight="1">
      <c r="A5" s="17" t="s">
        <v>14</v>
      </c>
      <c r="B5" s="17" t="s">
        <v>85</v>
      </c>
      <c r="C5" s="22" t="s">
        <v>50</v>
      </c>
      <c r="D5" s="22" t="s">
        <v>51</v>
      </c>
      <c r="E5" s="22" t="s">
        <v>52</v>
      </c>
      <c r="F5" s="22" t="s">
        <v>53</v>
      </c>
      <c r="G5" s="22" t="s">
        <v>54</v>
      </c>
      <c r="H5" s="22" t="s">
        <v>55</v>
      </c>
      <c r="I5" s="22" t="s">
        <v>56</v>
      </c>
      <c r="J5" s="22" t="s">
        <v>57</v>
      </c>
      <c r="K5" s="22" t="s">
        <v>58</v>
      </c>
      <c r="L5" s="22" t="s">
        <v>59</v>
      </c>
      <c r="M5" s="28" t="s">
        <v>86</v>
      </c>
      <c r="N5" s="29" t="s">
        <v>87</v>
      </c>
      <c r="O5" s="30" t="s">
        <v>88</v>
      </c>
    </row>
    <row r="6" ht="37.5" customHeight="1">
      <c r="A6" s="18" t="str">
        <f>Guide!A14</f>
        <v>H1</v>
      </c>
      <c r="B6" s="12" t="str">
        <f>Guide!B14</f>
        <v/>
      </c>
      <c r="C6" s="31" t="s">
        <v>89</v>
      </c>
      <c r="D6" s="32" t="s">
        <v>89</v>
      </c>
      <c r="E6" s="32" t="s">
        <v>89</v>
      </c>
      <c r="F6" s="32" t="s">
        <v>89</v>
      </c>
      <c r="G6" s="32" t="s">
        <v>89</v>
      </c>
      <c r="H6" s="32" t="s">
        <v>89</v>
      </c>
      <c r="I6" s="32" t="s">
        <v>89</v>
      </c>
      <c r="J6" s="32" t="s">
        <v>89</v>
      </c>
      <c r="K6" s="32" t="s">
        <v>89</v>
      </c>
      <c r="L6" s="32" t="s">
        <v>89</v>
      </c>
      <c r="M6" s="33">
        <f t="shared" ref="M6:M20" si="1">COUNTIF(C6:L6,"Validated")</f>
        <v>0</v>
      </c>
      <c r="N6" s="34">
        <f t="shared" ref="N6:N20" si="2">COUNTIF(C6:L6,"Invalidated")</f>
        <v>0</v>
      </c>
      <c r="O6" s="35">
        <f t="shared" ref="O6:O20" si="3">COUNTIF(C6:L6,"Inconclusive")</f>
        <v>0</v>
      </c>
    </row>
    <row r="7" ht="37.5" customHeight="1">
      <c r="A7" s="20" t="str">
        <f>Guide!A15</f>
        <v>H2</v>
      </c>
      <c r="B7" s="15" t="str">
        <f>Guide!B15</f>
        <v/>
      </c>
      <c r="C7" s="36" t="s">
        <v>89</v>
      </c>
      <c r="D7" s="36" t="s">
        <v>89</v>
      </c>
      <c r="E7" s="36" t="s">
        <v>89</v>
      </c>
      <c r="F7" s="36" t="s">
        <v>89</v>
      </c>
      <c r="G7" s="36" t="s">
        <v>89</v>
      </c>
      <c r="H7" s="36" t="s">
        <v>89</v>
      </c>
      <c r="I7" s="36" t="s">
        <v>89</v>
      </c>
      <c r="J7" s="36" t="s">
        <v>89</v>
      </c>
      <c r="K7" s="36" t="s">
        <v>89</v>
      </c>
      <c r="L7" s="36" t="s">
        <v>89</v>
      </c>
      <c r="M7" s="33">
        <f t="shared" si="1"/>
        <v>0</v>
      </c>
      <c r="N7" s="34">
        <f t="shared" si="2"/>
        <v>0</v>
      </c>
      <c r="O7" s="35">
        <f t="shared" si="3"/>
        <v>0</v>
      </c>
    </row>
    <row r="8" ht="37.5" customHeight="1">
      <c r="A8" s="18" t="str">
        <f>Guide!A16</f>
        <v>H3</v>
      </c>
      <c r="B8" s="12" t="str">
        <f>Guide!B16</f>
        <v/>
      </c>
      <c r="C8" s="32" t="s">
        <v>89</v>
      </c>
      <c r="D8" s="32" t="s">
        <v>89</v>
      </c>
      <c r="E8" s="32" t="s">
        <v>89</v>
      </c>
      <c r="F8" s="32" t="s">
        <v>89</v>
      </c>
      <c r="G8" s="32" t="s">
        <v>89</v>
      </c>
      <c r="H8" s="32" t="s">
        <v>89</v>
      </c>
      <c r="I8" s="32" t="s">
        <v>89</v>
      </c>
      <c r="J8" s="32" t="s">
        <v>89</v>
      </c>
      <c r="K8" s="32" t="s">
        <v>89</v>
      </c>
      <c r="L8" s="32" t="s">
        <v>89</v>
      </c>
      <c r="M8" s="33">
        <f t="shared" si="1"/>
        <v>0</v>
      </c>
      <c r="N8" s="34">
        <f t="shared" si="2"/>
        <v>0</v>
      </c>
      <c r="O8" s="35">
        <f t="shared" si="3"/>
        <v>0</v>
      </c>
    </row>
    <row r="9" ht="37.5" customHeight="1">
      <c r="A9" s="20" t="str">
        <f>Guide!A17</f>
        <v>H4</v>
      </c>
      <c r="B9" s="15" t="str">
        <f>Guide!B17</f>
        <v/>
      </c>
      <c r="C9" s="36" t="s">
        <v>89</v>
      </c>
      <c r="D9" s="36" t="s">
        <v>89</v>
      </c>
      <c r="E9" s="36" t="s">
        <v>89</v>
      </c>
      <c r="F9" s="36" t="s">
        <v>89</v>
      </c>
      <c r="G9" s="36" t="s">
        <v>89</v>
      </c>
      <c r="H9" s="36" t="s">
        <v>89</v>
      </c>
      <c r="I9" s="36" t="s">
        <v>89</v>
      </c>
      <c r="J9" s="36" t="s">
        <v>89</v>
      </c>
      <c r="K9" s="36" t="s">
        <v>89</v>
      </c>
      <c r="L9" s="36" t="s">
        <v>89</v>
      </c>
      <c r="M9" s="33">
        <f t="shared" si="1"/>
        <v>0</v>
      </c>
      <c r="N9" s="34">
        <f t="shared" si="2"/>
        <v>0</v>
      </c>
      <c r="O9" s="35">
        <f t="shared" si="3"/>
        <v>0</v>
      </c>
    </row>
    <row r="10" ht="37.5" customHeight="1">
      <c r="A10" s="18" t="str">
        <f>Guide!A18</f>
        <v>H5</v>
      </c>
      <c r="B10" s="12" t="str">
        <f>Guide!B18</f>
        <v/>
      </c>
      <c r="C10" s="32" t="s">
        <v>89</v>
      </c>
      <c r="D10" s="32" t="s">
        <v>89</v>
      </c>
      <c r="E10" s="32" t="s">
        <v>89</v>
      </c>
      <c r="F10" s="32" t="s">
        <v>89</v>
      </c>
      <c r="G10" s="32" t="s">
        <v>89</v>
      </c>
      <c r="H10" s="32" t="s">
        <v>89</v>
      </c>
      <c r="I10" s="32" t="s">
        <v>89</v>
      </c>
      <c r="J10" s="32" t="s">
        <v>89</v>
      </c>
      <c r="K10" s="32" t="s">
        <v>89</v>
      </c>
      <c r="L10" s="32" t="s">
        <v>89</v>
      </c>
      <c r="M10" s="33">
        <f t="shared" si="1"/>
        <v>0</v>
      </c>
      <c r="N10" s="34">
        <f t="shared" si="2"/>
        <v>0</v>
      </c>
      <c r="O10" s="35">
        <f t="shared" si="3"/>
        <v>0</v>
      </c>
    </row>
    <row r="11" ht="37.5" customHeight="1">
      <c r="A11" s="20" t="str">
        <f>Guide!A19</f>
        <v>H6</v>
      </c>
      <c r="B11" s="15" t="str">
        <f>Guide!B19</f>
        <v/>
      </c>
      <c r="C11" s="36" t="s">
        <v>89</v>
      </c>
      <c r="D11" s="36" t="s">
        <v>89</v>
      </c>
      <c r="E11" s="36" t="s">
        <v>89</v>
      </c>
      <c r="F11" s="36" t="s">
        <v>89</v>
      </c>
      <c r="G11" s="36" t="s">
        <v>89</v>
      </c>
      <c r="H11" s="36" t="s">
        <v>89</v>
      </c>
      <c r="I11" s="36" t="s">
        <v>89</v>
      </c>
      <c r="J11" s="36" t="s">
        <v>89</v>
      </c>
      <c r="K11" s="36" t="s">
        <v>89</v>
      </c>
      <c r="L11" s="36" t="s">
        <v>89</v>
      </c>
      <c r="M11" s="33">
        <f t="shared" si="1"/>
        <v>0</v>
      </c>
      <c r="N11" s="34">
        <f t="shared" si="2"/>
        <v>0</v>
      </c>
      <c r="O11" s="35">
        <f t="shared" si="3"/>
        <v>0</v>
      </c>
    </row>
    <row r="12" ht="37.5" customHeight="1">
      <c r="A12" s="18" t="str">
        <f>Guide!A20</f>
        <v>H7</v>
      </c>
      <c r="B12" s="12" t="str">
        <f>Guide!B20</f>
        <v/>
      </c>
      <c r="C12" s="32" t="s">
        <v>89</v>
      </c>
      <c r="D12" s="32" t="s">
        <v>89</v>
      </c>
      <c r="E12" s="32" t="s">
        <v>89</v>
      </c>
      <c r="F12" s="32" t="s">
        <v>89</v>
      </c>
      <c r="G12" s="32" t="s">
        <v>89</v>
      </c>
      <c r="H12" s="32" t="s">
        <v>89</v>
      </c>
      <c r="I12" s="32" t="s">
        <v>89</v>
      </c>
      <c r="J12" s="32" t="s">
        <v>89</v>
      </c>
      <c r="K12" s="32" t="s">
        <v>89</v>
      </c>
      <c r="L12" s="32" t="s">
        <v>89</v>
      </c>
      <c r="M12" s="33">
        <f t="shared" si="1"/>
        <v>0</v>
      </c>
      <c r="N12" s="34">
        <f t="shared" si="2"/>
        <v>0</v>
      </c>
      <c r="O12" s="35">
        <f t="shared" si="3"/>
        <v>0</v>
      </c>
    </row>
    <row r="13" ht="37.5" customHeight="1">
      <c r="A13" s="20" t="str">
        <f>Guide!A21</f>
        <v>H8</v>
      </c>
      <c r="B13" s="15" t="str">
        <f>Guide!B21</f>
        <v/>
      </c>
      <c r="C13" s="36" t="s">
        <v>89</v>
      </c>
      <c r="D13" s="36" t="s">
        <v>89</v>
      </c>
      <c r="E13" s="36" t="s">
        <v>89</v>
      </c>
      <c r="F13" s="36" t="s">
        <v>89</v>
      </c>
      <c r="G13" s="36" t="s">
        <v>89</v>
      </c>
      <c r="H13" s="36" t="s">
        <v>89</v>
      </c>
      <c r="I13" s="36" t="s">
        <v>89</v>
      </c>
      <c r="J13" s="36" t="s">
        <v>89</v>
      </c>
      <c r="K13" s="36" t="s">
        <v>89</v>
      </c>
      <c r="L13" s="36" t="s">
        <v>89</v>
      </c>
      <c r="M13" s="33">
        <f t="shared" si="1"/>
        <v>0</v>
      </c>
      <c r="N13" s="34">
        <f t="shared" si="2"/>
        <v>0</v>
      </c>
      <c r="O13" s="35">
        <f t="shared" si="3"/>
        <v>0</v>
      </c>
    </row>
    <row r="14" ht="37.5" customHeight="1">
      <c r="A14" s="18" t="str">
        <f>Guide!A22</f>
        <v>H9</v>
      </c>
      <c r="B14" s="12" t="str">
        <f>Guide!B22</f>
        <v/>
      </c>
      <c r="C14" s="32" t="s">
        <v>89</v>
      </c>
      <c r="D14" s="32" t="s">
        <v>89</v>
      </c>
      <c r="E14" s="32" t="s">
        <v>89</v>
      </c>
      <c r="F14" s="32" t="s">
        <v>89</v>
      </c>
      <c r="G14" s="32" t="s">
        <v>89</v>
      </c>
      <c r="H14" s="32" t="s">
        <v>89</v>
      </c>
      <c r="I14" s="32" t="s">
        <v>89</v>
      </c>
      <c r="J14" s="32" t="s">
        <v>89</v>
      </c>
      <c r="K14" s="32" t="s">
        <v>89</v>
      </c>
      <c r="L14" s="32" t="s">
        <v>89</v>
      </c>
      <c r="M14" s="33">
        <f t="shared" si="1"/>
        <v>0</v>
      </c>
      <c r="N14" s="34">
        <f t="shared" si="2"/>
        <v>0</v>
      </c>
      <c r="O14" s="35">
        <f t="shared" si="3"/>
        <v>0</v>
      </c>
    </row>
    <row r="15" ht="37.5" customHeight="1">
      <c r="A15" s="20" t="str">
        <f>Guide!A23</f>
        <v>H10</v>
      </c>
      <c r="B15" s="15" t="str">
        <f>Guide!B23</f>
        <v/>
      </c>
      <c r="C15" s="36" t="s">
        <v>89</v>
      </c>
      <c r="D15" s="36" t="s">
        <v>89</v>
      </c>
      <c r="E15" s="36" t="s">
        <v>89</v>
      </c>
      <c r="F15" s="36" t="s">
        <v>89</v>
      </c>
      <c r="G15" s="36" t="s">
        <v>89</v>
      </c>
      <c r="H15" s="36" t="s">
        <v>89</v>
      </c>
      <c r="I15" s="36" t="s">
        <v>89</v>
      </c>
      <c r="J15" s="36" t="s">
        <v>89</v>
      </c>
      <c r="K15" s="36" t="s">
        <v>89</v>
      </c>
      <c r="L15" s="36" t="s">
        <v>89</v>
      </c>
      <c r="M15" s="33">
        <f t="shared" si="1"/>
        <v>0</v>
      </c>
      <c r="N15" s="34">
        <f t="shared" si="2"/>
        <v>0</v>
      </c>
      <c r="O15" s="35">
        <f t="shared" si="3"/>
        <v>0</v>
      </c>
    </row>
    <row r="16" ht="37.5" customHeight="1">
      <c r="A16" s="18" t="str">
        <f>Guide!A24</f>
        <v>H11</v>
      </c>
      <c r="B16" s="12" t="str">
        <f>Guide!B24</f>
        <v/>
      </c>
      <c r="C16" s="32" t="s">
        <v>89</v>
      </c>
      <c r="D16" s="32" t="s">
        <v>89</v>
      </c>
      <c r="E16" s="32" t="s">
        <v>89</v>
      </c>
      <c r="F16" s="32" t="s">
        <v>89</v>
      </c>
      <c r="G16" s="32" t="s">
        <v>89</v>
      </c>
      <c r="H16" s="32" t="s">
        <v>89</v>
      </c>
      <c r="I16" s="32" t="s">
        <v>89</v>
      </c>
      <c r="J16" s="32" t="s">
        <v>89</v>
      </c>
      <c r="K16" s="32" t="s">
        <v>89</v>
      </c>
      <c r="L16" s="32" t="s">
        <v>89</v>
      </c>
      <c r="M16" s="33">
        <f t="shared" si="1"/>
        <v>0</v>
      </c>
      <c r="N16" s="34">
        <f t="shared" si="2"/>
        <v>0</v>
      </c>
      <c r="O16" s="35">
        <f t="shared" si="3"/>
        <v>0</v>
      </c>
    </row>
    <row r="17" ht="37.5" customHeight="1">
      <c r="A17" s="20" t="str">
        <f>Guide!A25</f>
        <v>H12</v>
      </c>
      <c r="B17" s="15" t="str">
        <f>Guide!B25</f>
        <v/>
      </c>
      <c r="C17" s="36" t="s">
        <v>89</v>
      </c>
      <c r="D17" s="36" t="s">
        <v>89</v>
      </c>
      <c r="E17" s="36" t="s">
        <v>89</v>
      </c>
      <c r="F17" s="36" t="s">
        <v>89</v>
      </c>
      <c r="G17" s="36" t="s">
        <v>89</v>
      </c>
      <c r="H17" s="36" t="s">
        <v>89</v>
      </c>
      <c r="I17" s="36" t="s">
        <v>89</v>
      </c>
      <c r="J17" s="36" t="s">
        <v>89</v>
      </c>
      <c r="K17" s="36" t="s">
        <v>89</v>
      </c>
      <c r="L17" s="36" t="s">
        <v>89</v>
      </c>
      <c r="M17" s="33">
        <f t="shared" si="1"/>
        <v>0</v>
      </c>
      <c r="N17" s="34">
        <f t="shared" si="2"/>
        <v>0</v>
      </c>
      <c r="O17" s="35">
        <f t="shared" si="3"/>
        <v>0</v>
      </c>
    </row>
    <row r="18" ht="37.5" customHeight="1">
      <c r="A18" s="18" t="str">
        <f>Guide!A26</f>
        <v>H13</v>
      </c>
      <c r="B18" s="12" t="str">
        <f>Guide!B26</f>
        <v/>
      </c>
      <c r="C18" s="32" t="s">
        <v>89</v>
      </c>
      <c r="D18" s="32" t="s">
        <v>89</v>
      </c>
      <c r="E18" s="32" t="s">
        <v>89</v>
      </c>
      <c r="F18" s="32" t="s">
        <v>89</v>
      </c>
      <c r="G18" s="32" t="s">
        <v>89</v>
      </c>
      <c r="H18" s="32" t="s">
        <v>89</v>
      </c>
      <c r="I18" s="32" t="s">
        <v>89</v>
      </c>
      <c r="J18" s="32" t="s">
        <v>89</v>
      </c>
      <c r="K18" s="32" t="s">
        <v>89</v>
      </c>
      <c r="L18" s="32" t="s">
        <v>89</v>
      </c>
      <c r="M18" s="33">
        <f t="shared" si="1"/>
        <v>0</v>
      </c>
      <c r="N18" s="34">
        <f t="shared" si="2"/>
        <v>0</v>
      </c>
      <c r="O18" s="35">
        <f t="shared" si="3"/>
        <v>0</v>
      </c>
    </row>
    <row r="19" ht="37.5" customHeight="1">
      <c r="A19" s="20" t="str">
        <f>Guide!A27</f>
        <v>H14</v>
      </c>
      <c r="B19" s="15" t="str">
        <f>Guide!B27</f>
        <v/>
      </c>
      <c r="C19" s="36" t="s">
        <v>89</v>
      </c>
      <c r="D19" s="36" t="s">
        <v>89</v>
      </c>
      <c r="E19" s="36" t="s">
        <v>89</v>
      </c>
      <c r="F19" s="36" t="s">
        <v>89</v>
      </c>
      <c r="G19" s="36" t="s">
        <v>89</v>
      </c>
      <c r="H19" s="36" t="s">
        <v>89</v>
      </c>
      <c r="I19" s="36" t="s">
        <v>89</v>
      </c>
      <c r="J19" s="36" t="s">
        <v>89</v>
      </c>
      <c r="K19" s="36" t="s">
        <v>89</v>
      </c>
      <c r="L19" s="36" t="s">
        <v>89</v>
      </c>
      <c r="M19" s="33">
        <f t="shared" si="1"/>
        <v>0</v>
      </c>
      <c r="N19" s="34">
        <f t="shared" si="2"/>
        <v>0</v>
      </c>
      <c r="O19" s="35">
        <f t="shared" si="3"/>
        <v>0</v>
      </c>
    </row>
    <row r="20" ht="37.5" customHeight="1">
      <c r="A20" s="18" t="str">
        <f>Guide!A28</f>
        <v>H15</v>
      </c>
      <c r="B20" s="12" t="str">
        <f>Guide!B28</f>
        <v/>
      </c>
      <c r="C20" s="32" t="s">
        <v>89</v>
      </c>
      <c r="D20" s="32" t="s">
        <v>89</v>
      </c>
      <c r="E20" s="32" t="s">
        <v>89</v>
      </c>
      <c r="F20" s="32" t="s">
        <v>89</v>
      </c>
      <c r="G20" s="32" t="s">
        <v>89</v>
      </c>
      <c r="H20" s="32" t="s">
        <v>89</v>
      </c>
      <c r="I20" s="32" t="s">
        <v>89</v>
      </c>
      <c r="J20" s="32" t="s">
        <v>89</v>
      </c>
      <c r="K20" s="32" t="s">
        <v>89</v>
      </c>
      <c r="L20" s="32" t="s">
        <v>89</v>
      </c>
      <c r="M20" s="33">
        <f t="shared" si="1"/>
        <v>0</v>
      </c>
      <c r="N20" s="34">
        <f t="shared" si="2"/>
        <v>0</v>
      </c>
      <c r="O20" s="35">
        <f t="shared" si="3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2:O2"/>
    <mergeCell ref="A3:O3"/>
  </mergeCells>
  <dataValidations>
    <dataValidation type="list" allowBlank="1" sqref="C6:L20">
      <formula1>"Validated,Invalidated,Inconclusive,—"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1B04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2.0"/>
    <col customWidth="1" min="3" max="5" width="14.0"/>
    <col customWidth="1" min="6" max="6" width="36.0"/>
    <col customWidth="1" min="7" max="26" width="8.71"/>
  </cols>
  <sheetData>
    <row r="1" ht="43.5" customHeight="1">
      <c r="A1" s="1" t="s">
        <v>90</v>
      </c>
      <c r="B1" s="2"/>
      <c r="C1" s="2"/>
      <c r="D1" s="2"/>
      <c r="E1" s="2"/>
      <c r="F1" s="3"/>
    </row>
    <row r="2" ht="4.5" customHeight="1">
      <c r="A2" s="4"/>
      <c r="B2" s="5"/>
      <c r="C2" s="5"/>
      <c r="D2" s="5"/>
      <c r="E2" s="5"/>
      <c r="F2" s="6"/>
    </row>
    <row r="3" ht="19.5" customHeight="1">
      <c r="A3" s="7" t="s">
        <v>91</v>
      </c>
      <c r="B3" s="8"/>
      <c r="C3" s="8"/>
      <c r="D3" s="8"/>
      <c r="E3" s="8"/>
      <c r="F3" s="9"/>
    </row>
    <row r="4" ht="9.75" customHeight="1"/>
    <row r="5" ht="25.5" customHeight="1">
      <c r="A5" s="10" t="s">
        <v>92</v>
      </c>
      <c r="B5" s="2"/>
      <c r="C5" s="2"/>
      <c r="D5" s="2"/>
      <c r="E5" s="2"/>
      <c r="F5" s="3"/>
    </row>
    <row r="6" ht="30.0" customHeight="1">
      <c r="A6" s="17" t="s">
        <v>14</v>
      </c>
      <c r="B6" s="17" t="s">
        <v>85</v>
      </c>
      <c r="C6" s="17" t="s">
        <v>93</v>
      </c>
      <c r="D6" s="17" t="s">
        <v>94</v>
      </c>
      <c r="E6" s="17" t="s">
        <v>95</v>
      </c>
      <c r="F6" s="17" t="s">
        <v>96</v>
      </c>
    </row>
    <row r="7" ht="39.75" customHeight="1">
      <c r="A7" s="18" t="str">
        <f>Guide!A14</f>
        <v>H1</v>
      </c>
      <c r="B7" s="12" t="str">
        <f>Guide!B14</f>
        <v/>
      </c>
      <c r="C7" s="37">
        <f>'Hypothesis Matrix'!M6</f>
        <v>0</v>
      </c>
      <c r="D7" s="38">
        <f>'Hypothesis Matrix'!N6</f>
        <v>0</v>
      </c>
      <c r="E7" s="39">
        <f>'Hypothesis Matrix'!O6</f>
        <v>0</v>
      </c>
      <c r="F7" s="12"/>
    </row>
    <row r="8" ht="39.75" customHeight="1">
      <c r="A8" s="20" t="str">
        <f>Guide!A15</f>
        <v>H2</v>
      </c>
      <c r="B8" s="15" t="str">
        <f>Guide!B15</f>
        <v/>
      </c>
      <c r="C8" s="37">
        <f>'Hypothesis Matrix'!M7</f>
        <v>0</v>
      </c>
      <c r="D8" s="38">
        <f>'Hypothesis Matrix'!N7</f>
        <v>0</v>
      </c>
      <c r="E8" s="39">
        <f>'Hypothesis Matrix'!O7</f>
        <v>0</v>
      </c>
      <c r="F8" s="15"/>
    </row>
    <row r="9" ht="39.75" customHeight="1">
      <c r="A9" s="18" t="str">
        <f>Guide!A16</f>
        <v>H3</v>
      </c>
      <c r="B9" s="12" t="str">
        <f>Guide!B16</f>
        <v/>
      </c>
      <c r="C9" s="37">
        <f>'Hypothesis Matrix'!M8</f>
        <v>0</v>
      </c>
      <c r="D9" s="38">
        <f>'Hypothesis Matrix'!N8</f>
        <v>0</v>
      </c>
      <c r="E9" s="39">
        <f>'Hypothesis Matrix'!O8</f>
        <v>0</v>
      </c>
      <c r="F9" s="12"/>
    </row>
    <row r="10" ht="39.75" customHeight="1">
      <c r="A10" s="20" t="str">
        <f>Guide!A17</f>
        <v>H4</v>
      </c>
      <c r="B10" s="15" t="str">
        <f>Guide!B17</f>
        <v/>
      </c>
      <c r="C10" s="37">
        <f>'Hypothesis Matrix'!M9</f>
        <v>0</v>
      </c>
      <c r="D10" s="38">
        <f>'Hypothesis Matrix'!N9</f>
        <v>0</v>
      </c>
      <c r="E10" s="39">
        <f>'Hypothesis Matrix'!O9</f>
        <v>0</v>
      </c>
      <c r="F10" s="15"/>
    </row>
    <row r="11" ht="39.75" customHeight="1">
      <c r="A11" s="18" t="str">
        <f>Guide!A18</f>
        <v>H5</v>
      </c>
      <c r="B11" s="12" t="str">
        <f>Guide!B18</f>
        <v/>
      </c>
      <c r="C11" s="37">
        <f>'Hypothesis Matrix'!M10</f>
        <v>0</v>
      </c>
      <c r="D11" s="38">
        <f>'Hypothesis Matrix'!N10</f>
        <v>0</v>
      </c>
      <c r="E11" s="39">
        <f>'Hypothesis Matrix'!O10</f>
        <v>0</v>
      </c>
      <c r="F11" s="12"/>
    </row>
    <row r="12" ht="39.75" customHeight="1">
      <c r="A12" s="20" t="str">
        <f>Guide!A19</f>
        <v>H6</v>
      </c>
      <c r="B12" s="15" t="str">
        <f>Guide!B19</f>
        <v/>
      </c>
      <c r="C12" s="37">
        <f>'Hypothesis Matrix'!M11</f>
        <v>0</v>
      </c>
      <c r="D12" s="38">
        <f>'Hypothesis Matrix'!N11</f>
        <v>0</v>
      </c>
      <c r="E12" s="39">
        <f>'Hypothesis Matrix'!O11</f>
        <v>0</v>
      </c>
      <c r="F12" s="15"/>
    </row>
    <row r="13" ht="39.75" customHeight="1">
      <c r="A13" s="18" t="str">
        <f>Guide!A20</f>
        <v>H7</v>
      </c>
      <c r="B13" s="12" t="str">
        <f>Guide!B20</f>
        <v/>
      </c>
      <c r="C13" s="37">
        <f>'Hypothesis Matrix'!M12</f>
        <v>0</v>
      </c>
      <c r="D13" s="38">
        <f>'Hypothesis Matrix'!N12</f>
        <v>0</v>
      </c>
      <c r="E13" s="39">
        <f>'Hypothesis Matrix'!O12</f>
        <v>0</v>
      </c>
      <c r="F13" s="12"/>
    </row>
    <row r="14" ht="39.75" customHeight="1">
      <c r="A14" s="20" t="str">
        <f>Guide!A21</f>
        <v>H8</v>
      </c>
      <c r="B14" s="15" t="str">
        <f>Guide!B21</f>
        <v/>
      </c>
      <c r="C14" s="37">
        <f>'Hypothesis Matrix'!M13</f>
        <v>0</v>
      </c>
      <c r="D14" s="38">
        <f>'Hypothesis Matrix'!N13</f>
        <v>0</v>
      </c>
      <c r="E14" s="39">
        <f>'Hypothesis Matrix'!O13</f>
        <v>0</v>
      </c>
      <c r="F14" s="15"/>
    </row>
    <row r="15" ht="39.75" customHeight="1">
      <c r="A15" s="18" t="str">
        <f>Guide!A22</f>
        <v>H9</v>
      </c>
      <c r="B15" s="12" t="str">
        <f>Guide!B22</f>
        <v/>
      </c>
      <c r="C15" s="37">
        <f>'Hypothesis Matrix'!M14</f>
        <v>0</v>
      </c>
      <c r="D15" s="38">
        <f>'Hypothesis Matrix'!N14</f>
        <v>0</v>
      </c>
      <c r="E15" s="39">
        <f>'Hypothesis Matrix'!O14</f>
        <v>0</v>
      </c>
      <c r="F15" s="12"/>
    </row>
    <row r="16" ht="39.75" customHeight="1">
      <c r="A16" s="20" t="str">
        <f>Guide!A23</f>
        <v>H10</v>
      </c>
      <c r="B16" s="15" t="str">
        <f>Guide!B23</f>
        <v/>
      </c>
      <c r="C16" s="37">
        <f>'Hypothesis Matrix'!M15</f>
        <v>0</v>
      </c>
      <c r="D16" s="38">
        <f>'Hypothesis Matrix'!N15</f>
        <v>0</v>
      </c>
      <c r="E16" s="39">
        <f>'Hypothesis Matrix'!O15</f>
        <v>0</v>
      </c>
      <c r="F16" s="15"/>
    </row>
    <row r="17" ht="39.75" customHeight="1">
      <c r="A17" s="18" t="str">
        <f>Guide!A24</f>
        <v>H11</v>
      </c>
      <c r="B17" s="12" t="str">
        <f>Guide!B24</f>
        <v/>
      </c>
      <c r="C17" s="37">
        <f>'Hypothesis Matrix'!M16</f>
        <v>0</v>
      </c>
      <c r="D17" s="38">
        <f>'Hypothesis Matrix'!N16</f>
        <v>0</v>
      </c>
      <c r="E17" s="39">
        <f>'Hypothesis Matrix'!O16</f>
        <v>0</v>
      </c>
      <c r="F17" s="12"/>
    </row>
    <row r="18" ht="39.75" customHeight="1">
      <c r="A18" s="20" t="str">
        <f>Guide!A25</f>
        <v>H12</v>
      </c>
      <c r="B18" s="15" t="str">
        <f>Guide!B25</f>
        <v/>
      </c>
      <c r="C18" s="37">
        <f>'Hypothesis Matrix'!M17</f>
        <v>0</v>
      </c>
      <c r="D18" s="38">
        <f>'Hypothesis Matrix'!N17</f>
        <v>0</v>
      </c>
      <c r="E18" s="39">
        <f>'Hypothesis Matrix'!O17</f>
        <v>0</v>
      </c>
      <c r="F18" s="15"/>
    </row>
    <row r="19" ht="39.75" customHeight="1">
      <c r="A19" s="18" t="str">
        <f>Guide!A26</f>
        <v>H13</v>
      </c>
      <c r="B19" s="12" t="str">
        <f>Guide!B26</f>
        <v/>
      </c>
      <c r="C19" s="37">
        <f>'Hypothesis Matrix'!M18</f>
        <v>0</v>
      </c>
      <c r="D19" s="38">
        <f>'Hypothesis Matrix'!N18</f>
        <v>0</v>
      </c>
      <c r="E19" s="39">
        <f>'Hypothesis Matrix'!O18</f>
        <v>0</v>
      </c>
      <c r="F19" s="12"/>
    </row>
    <row r="20" ht="39.75" customHeight="1">
      <c r="A20" s="20" t="str">
        <f>Guide!A27</f>
        <v>H14</v>
      </c>
      <c r="B20" s="15" t="str">
        <f>Guide!B27</f>
        <v/>
      </c>
      <c r="C20" s="37">
        <f>'Hypothesis Matrix'!M19</f>
        <v>0</v>
      </c>
      <c r="D20" s="38">
        <f>'Hypothesis Matrix'!N19</f>
        <v>0</v>
      </c>
      <c r="E20" s="39">
        <f>'Hypothesis Matrix'!O19</f>
        <v>0</v>
      </c>
      <c r="F20" s="15"/>
    </row>
    <row r="21" ht="39.75" customHeight="1">
      <c r="A21" s="18" t="str">
        <f>Guide!A28</f>
        <v>H15</v>
      </c>
      <c r="B21" s="12" t="str">
        <f>Guide!B28</f>
        <v/>
      </c>
      <c r="C21" s="37">
        <f>'Hypothesis Matrix'!M20</f>
        <v>0</v>
      </c>
      <c r="D21" s="38">
        <f>'Hypothesis Matrix'!N20</f>
        <v>0</v>
      </c>
      <c r="E21" s="39">
        <f>'Hypothesis Matrix'!O20</f>
        <v>0</v>
      </c>
      <c r="F21" s="12"/>
    </row>
    <row r="22" ht="13.5" customHeight="1"/>
    <row r="23" ht="25.5" customHeight="1">
      <c r="A23" s="10" t="s">
        <v>97</v>
      </c>
      <c r="B23" s="2"/>
      <c r="C23" s="2"/>
      <c r="D23" s="2"/>
      <c r="E23" s="2"/>
      <c r="F23" s="3"/>
    </row>
    <row r="24" ht="30.0" customHeight="1">
      <c r="A24" s="17" t="s">
        <v>98</v>
      </c>
      <c r="B24" s="17" t="s">
        <v>99</v>
      </c>
      <c r="C24" s="17" t="s">
        <v>85</v>
      </c>
      <c r="D24" s="17" t="s">
        <v>100</v>
      </c>
      <c r="E24" s="17" t="s">
        <v>101</v>
      </c>
      <c r="F24" s="17" t="s">
        <v>102</v>
      </c>
    </row>
    <row r="25" ht="39.75" customHeight="1">
      <c r="A25" s="12"/>
      <c r="B25" s="12"/>
      <c r="C25" s="12"/>
      <c r="D25" s="12"/>
      <c r="E25" s="12"/>
      <c r="F25" s="12"/>
    </row>
    <row r="26" ht="39.75" customHeight="1">
      <c r="A26" s="15"/>
      <c r="B26" s="15"/>
      <c r="C26" s="15"/>
      <c r="D26" s="15"/>
      <c r="E26" s="15"/>
      <c r="F26" s="15"/>
    </row>
    <row r="27" ht="39.75" customHeight="1">
      <c r="A27" s="12"/>
      <c r="B27" s="12"/>
      <c r="C27" s="12"/>
      <c r="D27" s="12"/>
      <c r="E27" s="12"/>
      <c r="F27" s="12"/>
    </row>
    <row r="28" ht="39.75" customHeight="1">
      <c r="A28" s="15"/>
      <c r="B28" s="15"/>
      <c r="C28" s="15"/>
      <c r="D28" s="15"/>
      <c r="E28" s="15"/>
      <c r="F28" s="15"/>
    </row>
    <row r="29" ht="39.75" customHeight="1">
      <c r="A29" s="12"/>
      <c r="B29" s="12"/>
      <c r="C29" s="12"/>
      <c r="D29" s="12"/>
      <c r="E29" s="12"/>
      <c r="F29" s="12"/>
    </row>
    <row r="30" ht="39.75" customHeight="1">
      <c r="A30" s="15"/>
      <c r="B30" s="15"/>
      <c r="C30" s="15"/>
      <c r="D30" s="15"/>
      <c r="E30" s="15"/>
      <c r="F30" s="15"/>
    </row>
    <row r="31" ht="13.5" customHeight="1"/>
    <row r="32" ht="25.5" customHeight="1">
      <c r="A32" s="10" t="s">
        <v>103</v>
      </c>
      <c r="B32" s="2"/>
      <c r="C32" s="2"/>
      <c r="D32" s="2"/>
      <c r="E32" s="2"/>
      <c r="F32" s="3"/>
    </row>
    <row r="33" ht="15.0" customHeight="1">
      <c r="A33" s="40" t="s">
        <v>104</v>
      </c>
      <c r="B33" s="41"/>
      <c r="C33" s="41"/>
      <c r="D33" s="41"/>
      <c r="E33" s="41"/>
      <c r="F33" s="42"/>
    </row>
    <row r="34" ht="27.75" customHeight="1">
      <c r="A34" s="43"/>
      <c r="F34" s="44"/>
    </row>
    <row r="35" ht="27.75" customHeight="1">
      <c r="A35" s="43"/>
      <c r="F35" s="44"/>
    </row>
    <row r="36" ht="27.75" customHeight="1">
      <c r="A36" s="45"/>
      <c r="B36" s="46"/>
      <c r="C36" s="46"/>
      <c r="D36" s="46"/>
      <c r="E36" s="46"/>
      <c r="F36" s="4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F5"/>
    <mergeCell ref="A23:F23"/>
    <mergeCell ref="A32:F32"/>
    <mergeCell ref="A33:F3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2026-06-02T15:13:01Z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